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b19e9322ed943f/Desktop/sluff-project/"/>
    </mc:Choice>
  </mc:AlternateContent>
  <xr:revisionPtr revIDLastSave="0" documentId="8_{AD2784C9-B422-4922-ABF2-1B860757E03B}" xr6:coauthVersionLast="47" xr6:coauthVersionMax="47" xr10:uidLastSave="{00000000-0000-0000-0000-000000000000}"/>
  <bookViews>
    <workbookView xWindow="-110" yWindow="-110" windowWidth="25820" windowHeight="15500" xr2:uid="{CE868362-1793-4531-AD28-8C28B20E90F8}"/>
  </bookViews>
  <sheets>
    <sheet name="CardSpreader" sheetId="1" r:id="rId1"/>
    <sheet name="Sheet1" sheetId="2" r:id="rId2"/>
  </sheets>
  <definedNames>
    <definedName name="Aspect_R">CardSpreader!$E$10</definedName>
    <definedName name="Between_Card_Margin">CardSpreader!$E$20</definedName>
    <definedName name="Card_Height">CardSpreader!$E$12</definedName>
    <definedName name="Card_Layout_Mode">CardSpreader!$E$25</definedName>
    <definedName name="Card_Width">CardSpreader!$E$13</definedName>
    <definedName name="Cards_in_Hand">CardSpreader!$E$22</definedName>
    <definedName name="FC_CM_OFFSET">CardSpreader!$E$41</definedName>
    <definedName name="OV_M_RightCard">CardSpreader!$E$26</definedName>
    <definedName name="OV_M_Spacing">CardSpreader!$E$27</definedName>
    <definedName name="PH_P">CardSpreader!$E$15</definedName>
    <definedName name="PHC_LP">CardSpreader!$E$16</definedName>
    <definedName name="PHC_W">CardSpreader!$E$18</definedName>
    <definedName name="PlayerHandContiner_Padding">CardSpreader!$E$15</definedName>
    <definedName name="THW_Plus_TICM">CardSpreader!$E$23</definedName>
    <definedName name="Veiwport_X">CardSpreader!$E$8</definedName>
    <definedName name="Viewport_Y">CardSpreader!$E$9</definedName>
    <definedName name="VP_X">CardSpreader!$E$8</definedName>
    <definedName name="VP_Y">CardSpreader!$E$9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6" i="1" s="1"/>
  <c r="E18" i="1" s="1"/>
  <c r="E20" i="1"/>
  <c r="E12" i="1"/>
  <c r="E13" i="1" s="1"/>
  <c r="F41" i="1"/>
  <c r="F53" i="1"/>
  <c r="F52" i="1"/>
  <c r="F51" i="1"/>
  <c r="F50" i="1"/>
  <c r="F49" i="1"/>
  <c r="F48" i="1"/>
  <c r="F47" i="1"/>
  <c r="F46" i="1"/>
  <c r="F45" i="1"/>
  <c r="F44" i="1"/>
  <c r="F43" i="1"/>
  <c r="F38" i="1"/>
  <c r="F37" i="1"/>
  <c r="F33" i="1"/>
  <c r="F32" i="1"/>
  <c r="F31" i="1"/>
  <c r="F30" i="1"/>
  <c r="F29" i="1"/>
  <c r="F39" i="1"/>
  <c r="F36" i="1"/>
  <c r="F35" i="1"/>
  <c r="F34" i="1"/>
  <c r="F27" i="1"/>
  <c r="F26" i="1"/>
  <c r="F25" i="1"/>
  <c r="F18" i="1"/>
  <c r="F23" i="1"/>
  <c r="F20" i="1"/>
  <c r="F16" i="1"/>
  <c r="F15" i="1"/>
  <c r="F13" i="1"/>
  <c r="F12" i="1"/>
  <c r="E26" i="1" l="1"/>
  <c r="E27" i="1" s="1"/>
  <c r="E23" i="1"/>
  <c r="E25" i="1" s="1"/>
  <c r="E41" i="1" l="1"/>
  <c r="E50" i="1" s="1"/>
  <c r="E39" i="1"/>
  <c r="G39" i="1" s="1"/>
  <c r="E33" i="1"/>
  <c r="G33" i="1" s="1"/>
  <c r="E30" i="1"/>
  <c r="G30" i="1" s="1"/>
  <c r="E38" i="1"/>
  <c r="G38" i="1" s="1"/>
  <c r="E34" i="1"/>
  <c r="G34" i="1" s="1"/>
  <c r="E32" i="1"/>
  <c r="G32" i="1" s="1"/>
  <c r="E29" i="1"/>
  <c r="G29" i="1" s="1"/>
  <c r="E37" i="1"/>
  <c r="G37" i="1" s="1"/>
  <c r="E36" i="1"/>
  <c r="G36" i="1" s="1"/>
  <c r="E35" i="1"/>
  <c r="G35" i="1" s="1"/>
  <c r="E31" i="1"/>
  <c r="G31" i="1" s="1"/>
  <c r="E43" i="1" l="1"/>
  <c r="E48" i="1"/>
  <c r="E53" i="1"/>
  <c r="E45" i="1"/>
  <c r="E47" i="1"/>
  <c r="E49" i="1"/>
  <c r="E51" i="1"/>
  <c r="E52" i="1"/>
  <c r="E44" i="1"/>
  <c r="E46" i="1"/>
</calcChain>
</file>

<file path=xl/sharedStrings.xml><?xml version="1.0" encoding="utf-8"?>
<sst xmlns="http://schemas.openxmlformats.org/spreadsheetml/2006/main" count="73" uniqueCount="72">
  <si>
    <t>Aspect_R</t>
  </si>
  <si>
    <t>Dynamic based on true viewport</t>
  </si>
  <si>
    <t>Defined Value</t>
  </si>
  <si>
    <t>Game Variable</t>
  </si>
  <si>
    <t>Cards_in_hand</t>
  </si>
  <si>
    <t>Card_Height</t>
  </si>
  <si>
    <t>Card_Width</t>
  </si>
  <si>
    <t>Between_Card_Margin</t>
  </si>
  <si>
    <t>Card_Layout_Mode</t>
  </si>
  <si>
    <t>THW_Plus_TICM     //TotalHandWidth plus total inner card margin</t>
  </si>
  <si>
    <t>PHC_W  // Player Hand Container Width)</t>
  </si>
  <si>
    <t xml:space="preserve">PHC_LP  // Player hand container padding from left edge.  </t>
  </si>
  <si>
    <t>VP_X   // Viewport_X</t>
  </si>
  <si>
    <t>VP_Y  // Viewport_Y</t>
  </si>
  <si>
    <t>PH_P  // Player Hand Padding`</t>
  </si>
  <si>
    <t>OV_M_RightCard  //overlap mode, far right card starting postion</t>
  </si>
  <si>
    <t>OV_M_Spacing  // overlap mode the spcing between cards</t>
  </si>
  <si>
    <t>2nd Card position in overlap mode - Relative to container edge</t>
  </si>
  <si>
    <t>3rd Card position in overlap mode - Relative to container edge</t>
  </si>
  <si>
    <t>4th Card position in overlap mode - Relative to container edge</t>
  </si>
  <si>
    <t>5th Card position in overlap mode - Relative to container edge</t>
  </si>
  <si>
    <t>6th Card position in overlap mode - Relative to container edge</t>
  </si>
  <si>
    <t>7th Card position in overlap mode - Relative to container edge</t>
  </si>
  <si>
    <t>1st Card position in overlap mode - Relative to container edge</t>
  </si>
  <si>
    <t>8th Card position in overlap mode - Relative to container edge</t>
  </si>
  <si>
    <t>9th Card position in overlap mode - Relative to container edge</t>
  </si>
  <si>
    <t>10th Card position in overlap mode - Relative to container edge</t>
  </si>
  <si>
    <t>11th Card position in overlap mode - Relative to container edge</t>
  </si>
  <si>
    <t>1st Card position in Centered mode - Relative to container edge</t>
  </si>
  <si>
    <t>2nd Card position in Centered mode - Relative to container edge</t>
  </si>
  <si>
    <t>3rd Card position in Centered mode - Relative to container edge</t>
  </si>
  <si>
    <t>4th Card position in Centered mode - Relative to container edge</t>
  </si>
  <si>
    <t>5th Card position in Centered mode - Relative to container edge</t>
  </si>
  <si>
    <t>6th Card position in Centered mode - Relative to container edge</t>
  </si>
  <si>
    <t>7th Card position in Centered mode - Relative to container edge</t>
  </si>
  <si>
    <t>8th Card position in Centered mode - Relative to container edge</t>
  </si>
  <si>
    <t>9th Card position in Centered mode - Relative to container edge</t>
  </si>
  <si>
    <t>10th Card position in Centered mode - Relative to container edge</t>
  </si>
  <si>
    <t>11th Card position in Centered mode - Relative to container edge</t>
  </si>
  <si>
    <t xml:space="preserve">FC_CM_OFFSET   //first card offset for center mode   </t>
  </si>
  <si>
    <t>Frontend</t>
  </si>
  <si>
    <t>1_login</t>
  </si>
  <si>
    <t>2_registration</t>
  </si>
  <si>
    <t>3_lobby</t>
  </si>
  <si>
    <t>4_leaderboard</t>
  </si>
  <si>
    <t>5_game</t>
  </si>
  <si>
    <t>3.1_lobbyheader</t>
  </si>
  <si>
    <t>3.2_lobbybody</t>
  </si>
  <si>
    <t>3.3_lobbyfooter</t>
  </si>
  <si>
    <t>6_Feedback</t>
  </si>
  <si>
    <t>7_Admin</t>
  </si>
  <si>
    <t>4.3_LB_footer</t>
  </si>
  <si>
    <t>4.2_LB_body</t>
  </si>
  <si>
    <t>4.1_LB_header</t>
  </si>
  <si>
    <t>5.1_game_header</t>
  </si>
  <si>
    <t>5.3_game_footer</t>
  </si>
  <si>
    <t>5.2_game_body</t>
  </si>
  <si>
    <t>5.3.1_playerhand</t>
  </si>
  <si>
    <t>5.3.2_controlpanels</t>
  </si>
  <si>
    <t>3.2.1_mobile</t>
  </si>
  <si>
    <t>3.2.2 tablet</t>
  </si>
  <si>
    <t>3.2.3 desktop</t>
  </si>
  <si>
    <t>3.2.1.1_tablethemes_gamecards</t>
  </si>
  <si>
    <t>3.2.1.2_chat windo</t>
  </si>
  <si>
    <t>3.2.1.3_bullitin</t>
  </si>
  <si>
    <t>3.2.2.1_tablethemes_gamecards</t>
  </si>
  <si>
    <t>3.2.2.2_chat windo</t>
  </si>
  <si>
    <t>3.2.2.3_bullitin</t>
  </si>
  <si>
    <t>3.2.3.1_tablethemes_gamecards</t>
  </si>
  <si>
    <t>3.2.3.2_chat windo</t>
  </si>
  <si>
    <t>3.2.3.3_bullitin</t>
  </si>
  <si>
    <t>3.2.3.4_Stats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</si>
</sst>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2907F-33E1-4FE8-936B-F7E80D5429EF}">
  <dimension ref="D8:G76"/>
  <sheetViews>
    <sheetView tabSelected="1" topLeftCell="A8" workbookViewId="0">
      <selection activeCell="B28" sqref="B28"/>
    </sheetView>
  </sheetViews>
  <sheetFormatPr defaultRowHeight="14.5" x14ac:dyDescent="0.35"/>
  <cols>
    <col min="4" max="6" width="42.08984375" customWidth="1"/>
  </cols>
  <sheetData>
    <row r="8" spans="4:6" x14ac:dyDescent="0.35">
      <c r="D8" t="s">
        <v>12</v>
      </c>
      <c r="E8">
        <v>711</v>
      </c>
      <c r="F8" t="s">
        <v>1</v>
      </c>
    </row>
    <row r="9" spans="4:6" x14ac:dyDescent="0.35">
      <c r="D9" t="s">
        <v>13</v>
      </c>
      <c r="E9">
        <v>711</v>
      </c>
      <c r="F9" t="s">
        <v>1</v>
      </c>
    </row>
    <row r="10" spans="4:6" x14ac:dyDescent="0.35">
      <c r="D10" t="s">
        <v>0</v>
      </c>
      <c r="E10">
        <v>0.71399999999999997</v>
      </c>
      <c r="F10" t="s">
        <v>2</v>
      </c>
    </row>
    <row r="12" spans="4:6" x14ac:dyDescent="0.35">
      <c r="D12" t="s">
        <v>5</v>
      </c>
      <c r="E12" s="1">
        <f>ROUND(VP_Y*0.1,0)</f>
        <v>71</v>
      </c>
      <c r="F12" t="str">
        <f ca="1">_xlfn.FORMULATEXT(E12)</f>
        <v>=ROUND(VP_Y*0.1,0)</v>
      </c>
    </row>
    <row r="13" spans="4:6" x14ac:dyDescent="0.35">
      <c r="D13" t="s">
        <v>6</v>
      </c>
      <c r="E13" s="1">
        <f>ROUND(Card_Height*Aspect_R,0)</f>
        <v>51</v>
      </c>
      <c r="F13" t="str">
        <f ca="1">_xlfn.FORMULATEXT(E13)</f>
        <v>=ROUND(Card_Height*Aspect_R,0)</v>
      </c>
    </row>
    <row r="14" spans="4:6" x14ac:dyDescent="0.35">
      <c r="E14" s="1"/>
    </row>
    <row r="15" spans="4:6" x14ac:dyDescent="0.35">
      <c r="D15" t="s">
        <v>14</v>
      </c>
      <c r="E15" s="1">
        <f>VP_Y*Aspect_R*0.04</f>
        <v>20.306160000000002</v>
      </c>
      <c r="F15" t="str">
        <f ca="1">_xlfn.FORMULATEXT(E15)</f>
        <v>=VP_Y*Aspect_R*0.04</v>
      </c>
    </row>
    <row r="16" spans="4:6" x14ac:dyDescent="0.35">
      <c r="D16" t="s">
        <v>11</v>
      </c>
      <c r="E16" s="1">
        <f>ROUND(PH_P/2,0)</f>
        <v>10</v>
      </c>
      <c r="F16" t="str">
        <f ca="1">_xlfn.FORMULATEXT(E16)</f>
        <v>=ROUND(PH_P/2,0)</v>
      </c>
    </row>
    <row r="17" spans="4:7" x14ac:dyDescent="0.35">
      <c r="E17" s="1"/>
    </row>
    <row r="18" spans="4:7" x14ac:dyDescent="0.35">
      <c r="D18" t="s">
        <v>10</v>
      </c>
      <c r="E18" s="1">
        <f>VP_X-(2*PHC_LP)</f>
        <v>691</v>
      </c>
      <c r="F18" t="str">
        <f ca="1">_xlfn.FORMULATEXT(E18)</f>
        <v>=VP_X-(2*PHC_LP)</v>
      </c>
    </row>
    <row r="19" spans="4:7" x14ac:dyDescent="0.35">
      <c r="E19" s="1"/>
    </row>
    <row r="20" spans="4:7" x14ac:dyDescent="0.35">
      <c r="D20" t="s">
        <v>7</v>
      </c>
      <c r="E20" s="1">
        <f>ROUND(Viewport_Y*Aspect_R*0.01,0)</f>
        <v>5</v>
      </c>
      <c r="F20" t="str">
        <f ca="1">_xlfn.FORMULATEXT(E20)</f>
        <v>=ROUND(Viewport_Y*Aspect_R*0.01,0)</v>
      </c>
    </row>
    <row r="21" spans="4:7" x14ac:dyDescent="0.35">
      <c r="E21" s="1"/>
    </row>
    <row r="22" spans="4:7" x14ac:dyDescent="0.35">
      <c r="D22" t="s">
        <v>4</v>
      </c>
      <c r="E22" s="1">
        <v>11</v>
      </c>
      <c r="F22" t="s">
        <v>3</v>
      </c>
    </row>
    <row r="23" spans="4:7" x14ac:dyDescent="0.35">
      <c r="D23" t="s">
        <v>9</v>
      </c>
      <c r="E23" s="1">
        <f>(Cards_in_Hand*Card_Width)+((Cards_in_Hand-1)*Between_Card_Margin)</f>
        <v>611</v>
      </c>
      <c r="F23" t="str">
        <f ca="1">_xlfn.FORMULATEXT(E23)</f>
        <v>=(Cards_in_Hand*Card_Width)+((Cards_in_Hand-1)*Between_Card_Margin)</v>
      </c>
    </row>
    <row r="24" spans="4:7" x14ac:dyDescent="0.35">
      <c r="E24" s="1"/>
    </row>
    <row r="25" spans="4:7" x14ac:dyDescent="0.35">
      <c r="D25" t="s">
        <v>8</v>
      </c>
      <c r="E25" s="1" t="str">
        <f>IF(THW_Plus_TICM&lt;VP_X,"CENTER_MODE","OVERLAP_MODE")</f>
        <v>CENTER_MODE</v>
      </c>
      <c r="F25" t="str">
        <f ca="1">_xlfn.FORMULATEXT(E25)</f>
        <v>=IF(THW_Plus_TICM&lt;VP_X,"CENTER_MODE","OVERLAP_MODE")</v>
      </c>
    </row>
    <row r="26" spans="4:7" x14ac:dyDescent="0.35">
      <c r="D26" t="s">
        <v>15</v>
      </c>
      <c r="E26" s="1">
        <f>PHC_W-Card_Width</f>
        <v>640</v>
      </c>
      <c r="F26" t="str">
        <f ca="1">_xlfn.FORMULATEXT(E26)</f>
        <v>=PHC_W-Card_Width</v>
      </c>
    </row>
    <row r="27" spans="4:7" x14ac:dyDescent="0.35">
      <c r="D27" t="s">
        <v>16</v>
      </c>
      <c r="E27" s="1">
        <f>OV_M_RightCard/(Cards_in_Hand-1)</f>
        <v>64</v>
      </c>
      <c r="F27" t="str">
        <f ca="1">_xlfn.FORMULATEXT(E27)</f>
        <v>=OV_M_RightCard/(Cards_in_Hand-1)</v>
      </c>
    </row>
    <row r="28" spans="4:7" x14ac:dyDescent="0.35">
      <c r="E28" s="1"/>
    </row>
    <row r="29" spans="4:7" x14ac:dyDescent="0.35">
      <c r="D29" t="s">
        <v>23</v>
      </c>
      <c r="E29" s="1" t="str">
        <f>IF(Card_Layout_Mode="CENTER_MODE","See Center Mode Calculation",ROUND((1-1)*OV_M_Spacing,0))</f>
        <v>See Center Mode Calculation</v>
      </c>
      <c r="F29" t="str">
        <f t="shared" ref="F29:F41" ca="1" si="0">_xlfn.FORMULATEXT(E29)</f>
        <v>=IF(Card_Layout_Mode="CENTER_MODE","See Center Mode Calculation",ROUND((1-1)*OV_M_Spacing,0))</v>
      </c>
      <c r="G29" s="1" t="e">
        <f>E29+PHC_LP</f>
        <v>#VALUE!</v>
      </c>
    </row>
    <row r="30" spans="4:7" x14ac:dyDescent="0.35">
      <c r="D30" t="s">
        <v>17</v>
      </c>
      <c r="E30" s="1" t="str">
        <f>IF(Card_Layout_Mode="CENTER_MODE","See Center Mode Calculation",ROUND((2-1)*OV_M_Spacing,0))</f>
        <v>See Center Mode Calculation</v>
      </c>
      <c r="F30" t="str">
        <f t="shared" ca="1" si="0"/>
        <v>=IF(Card_Layout_Mode="CENTER_MODE","See Center Mode Calculation",ROUND((2-1)*OV_M_Spacing,0))</v>
      </c>
      <c r="G30" s="1" t="e">
        <f>E30+PHC_LP</f>
        <v>#VALUE!</v>
      </c>
    </row>
    <row r="31" spans="4:7" x14ac:dyDescent="0.35">
      <c r="D31" t="s">
        <v>18</v>
      </c>
      <c r="E31" s="1" t="str">
        <f>IF(Card_Layout_Mode="CENTER_MODE","See Center Mode Calculation",ROUND((3-1)*OV_M_Spacing,0))</f>
        <v>See Center Mode Calculation</v>
      </c>
      <c r="F31" t="str">
        <f t="shared" ca="1" si="0"/>
        <v>=IF(Card_Layout_Mode="CENTER_MODE","See Center Mode Calculation",ROUND((3-1)*OV_M_Spacing,0))</v>
      </c>
      <c r="G31" s="1" t="e">
        <f>E31+PHC_LP</f>
        <v>#VALUE!</v>
      </c>
    </row>
    <row r="32" spans="4:7" x14ac:dyDescent="0.35">
      <c r="D32" t="s">
        <v>19</v>
      </c>
      <c r="E32" s="1" t="str">
        <f>IF(Card_Layout_Mode="CENTER_MODE","See Center Mode Calculation",ROUND((4-1)*OV_M_Spacing,0))</f>
        <v>See Center Mode Calculation</v>
      </c>
      <c r="F32" t="str">
        <f t="shared" ca="1" si="0"/>
        <v>=IF(Card_Layout_Mode="CENTER_MODE","See Center Mode Calculation",ROUND((4-1)*OV_M_Spacing,0))</v>
      </c>
      <c r="G32" s="1" t="e">
        <f>E32+PHC_LP</f>
        <v>#VALUE!</v>
      </c>
    </row>
    <row r="33" spans="4:7" x14ac:dyDescent="0.35">
      <c r="D33" t="s">
        <v>20</v>
      </c>
      <c r="E33" s="1" t="str">
        <f>IF(Card_Layout_Mode="CENTER_MODE","See Center Mode Calculation",ROUND((5-1)*OV_M_Spacing,0))</f>
        <v>See Center Mode Calculation</v>
      </c>
      <c r="F33" t="str">
        <f t="shared" ca="1" si="0"/>
        <v>=IF(Card_Layout_Mode="CENTER_MODE","See Center Mode Calculation",ROUND((5-1)*OV_M_Spacing,0))</v>
      </c>
      <c r="G33" s="1" t="e">
        <f>E33+PHC_LP</f>
        <v>#VALUE!</v>
      </c>
    </row>
    <row r="34" spans="4:7" x14ac:dyDescent="0.35">
      <c r="D34" t="s">
        <v>21</v>
      </c>
      <c r="E34" s="1" t="str">
        <f>IF(Card_Layout_Mode="CENTER_MODE","See Center Mode Calculation",ROUND((6-1)*OV_M_Spacing,0))</f>
        <v>See Center Mode Calculation</v>
      </c>
      <c r="F34" t="str">
        <f t="shared" ca="1" si="0"/>
        <v>=IF(Card_Layout_Mode="CENTER_MODE","See Center Mode Calculation",ROUND((6-1)*OV_M_Spacing,0))</v>
      </c>
      <c r="G34" s="1" t="e">
        <f>E34+PHC_LP</f>
        <v>#VALUE!</v>
      </c>
    </row>
    <row r="35" spans="4:7" x14ac:dyDescent="0.35">
      <c r="D35" t="s">
        <v>22</v>
      </c>
      <c r="E35" s="1" t="str">
        <f>IF(Card_Layout_Mode="CENTER_MODE","See Center Mode Calculation",ROUND((7-1)*OV_M_Spacing,0))</f>
        <v>See Center Mode Calculation</v>
      </c>
      <c r="F35" t="str">
        <f t="shared" ca="1" si="0"/>
        <v>=IF(Card_Layout_Mode="CENTER_MODE","See Center Mode Calculation",ROUND((7-1)*OV_M_Spacing,0))</v>
      </c>
      <c r="G35" s="1" t="e">
        <f>E35+PHC_LP</f>
        <v>#VALUE!</v>
      </c>
    </row>
    <row r="36" spans="4:7" x14ac:dyDescent="0.35">
      <c r="D36" t="s">
        <v>24</v>
      </c>
      <c r="E36" s="1" t="str">
        <f>IF(Card_Layout_Mode="CENTER_MODE","See Center Mode Calculation",ROUND((8-1)*OV_M_Spacing,0))</f>
        <v>See Center Mode Calculation</v>
      </c>
      <c r="F36" t="str">
        <f t="shared" ca="1" si="0"/>
        <v>=IF(Card_Layout_Mode="CENTER_MODE","See Center Mode Calculation",ROUND((8-1)*OV_M_Spacing,0))</v>
      </c>
      <c r="G36" s="1" t="e">
        <f>E36+PHC_LP</f>
        <v>#VALUE!</v>
      </c>
    </row>
    <row r="37" spans="4:7" x14ac:dyDescent="0.35">
      <c r="D37" t="s">
        <v>25</v>
      </c>
      <c r="E37" s="1" t="str">
        <f>IF(Card_Layout_Mode="CENTER_MODE","See Center Mode Calculation",ROUND((9-1)*OV_M_Spacing,0))</f>
        <v>See Center Mode Calculation</v>
      </c>
      <c r="F37" t="str">
        <f t="shared" ca="1" si="0"/>
        <v>=IF(Card_Layout_Mode="CENTER_MODE","See Center Mode Calculation",ROUND((9-1)*OV_M_Spacing,0))</v>
      </c>
      <c r="G37" s="1" t="e">
        <f>E37+PHC_LP</f>
        <v>#VALUE!</v>
      </c>
    </row>
    <row r="38" spans="4:7" x14ac:dyDescent="0.35">
      <c r="D38" t="s">
        <v>26</v>
      </c>
      <c r="E38" s="1" t="str">
        <f>IF(Card_Layout_Mode="CENTER_MODE","See Center Mode Calculation",ROUND((10-1)*OV_M_Spacing,0))</f>
        <v>See Center Mode Calculation</v>
      </c>
      <c r="F38" t="str">
        <f t="shared" ca="1" si="0"/>
        <v>=IF(Card_Layout_Mode="CENTER_MODE","See Center Mode Calculation",ROUND((10-1)*OV_M_Spacing,0))</v>
      </c>
      <c r="G38" s="1" t="e">
        <f>E38+PHC_LP</f>
        <v>#VALUE!</v>
      </c>
    </row>
    <row r="39" spans="4:7" x14ac:dyDescent="0.35">
      <c r="D39" t="s">
        <v>27</v>
      </c>
      <c r="E39" s="1" t="str">
        <f>IF(Card_Layout_Mode="CENTER_MODE","See Center Mode Calculation",ROUND((11-1)*OV_M_Spacing,0))</f>
        <v>See Center Mode Calculation</v>
      </c>
      <c r="F39" t="str">
        <f t="shared" ca="1" si="0"/>
        <v>=IF(Card_Layout_Mode="CENTER_MODE","See Center Mode Calculation",ROUND((11-1)*OV_M_Spacing,0))</v>
      </c>
      <c r="G39" s="1" t="e">
        <f>E39+PHC_LP</f>
        <v>#VALUE!</v>
      </c>
    </row>
    <row r="40" spans="4:7" x14ac:dyDescent="0.35">
      <c r="E40" s="1"/>
    </row>
    <row r="41" spans="4:7" x14ac:dyDescent="0.35">
      <c r="D41" t="s">
        <v>39</v>
      </c>
      <c r="E41" s="1">
        <f>( PHC_W - THW_Plus_TICM) /2</f>
        <v>40</v>
      </c>
      <c r="F41" t="str">
        <f t="shared" ca="1" si="0"/>
        <v>=( PHC_W - THW_Plus_TICM) /2</v>
      </c>
    </row>
    <row r="42" spans="4:7" x14ac:dyDescent="0.35">
      <c r="E42" s="1"/>
    </row>
    <row r="43" spans="4:7" x14ac:dyDescent="0.35">
      <c r="D43" t="s">
        <v>28</v>
      </c>
      <c r="E43" s="1">
        <f>IF(Card_Layout_Mode="CENTER_MODE",FC_CM_OFFSET+((1-1)*(Between_Card_Margin+Card_Width)),"See Overlap Mode Calcuation")</f>
        <v>40</v>
      </c>
      <c r="F43" t="str">
        <f t="shared" ref="F43:F53" ca="1" si="1">_xlfn.FORMULATEXT(E43)</f>
        <v>=IF(Card_Layout_Mode="CENTER_MODE",FC_CM_OFFSET+((1-1)*(Between_Card_Margin+Card_Width)),"See Overlap Mode Calcuation")</v>
      </c>
    </row>
    <row r="44" spans="4:7" x14ac:dyDescent="0.35">
      <c r="D44" t="s">
        <v>29</v>
      </c>
      <c r="E44" s="1">
        <f>IF(Card_Layout_Mode="CENTER_MODE",FC_CM_OFFSET+((2-1)*(Between_Card_Margin+Card_Width)),"See Overlap Mode Calcuation")</f>
        <v>96</v>
      </c>
      <c r="F44" t="str">
        <f t="shared" ca="1" si="1"/>
        <v>=IF(Card_Layout_Mode="CENTER_MODE",FC_CM_OFFSET+((2-1)*(Between_Card_Margin+Card_Width)),"See Overlap Mode Calcuation")</v>
      </c>
      <c r="G44" s="1"/>
    </row>
    <row r="45" spans="4:7" x14ac:dyDescent="0.35">
      <c r="D45" t="s">
        <v>30</v>
      </c>
      <c r="E45" s="1">
        <f>IF(Card_Layout_Mode="CENTER_MODE",FC_CM_OFFSET+((3-1)*(Between_Card_Margin+Card_Width)),"See Overlap Mode Calcuation")</f>
        <v>152</v>
      </c>
      <c r="F45" t="str">
        <f t="shared" ca="1" si="1"/>
        <v>=IF(Card_Layout_Mode="CENTER_MODE",FC_CM_OFFSET+((3-1)*(Between_Card_Margin+Card_Width)),"See Overlap Mode Calcuation")</v>
      </c>
    </row>
    <row r="46" spans="4:7" x14ac:dyDescent="0.35">
      <c r="D46" t="s">
        <v>31</v>
      </c>
      <c r="E46" s="1">
        <f>IF(Card_Layout_Mode="CENTER_MODE",FC_CM_OFFSET+((4-1)*(Between_Card_Margin+Card_Width)),"See Overlap Mode Calcuation")</f>
        <v>208</v>
      </c>
      <c r="F46" t="str">
        <f t="shared" ca="1" si="1"/>
        <v>=IF(Card_Layout_Mode="CENTER_MODE",FC_CM_OFFSET+((4-1)*(Between_Card_Margin+Card_Width)),"See Overlap Mode Calcuation")</v>
      </c>
    </row>
    <row r="47" spans="4:7" x14ac:dyDescent="0.35">
      <c r="D47" t="s">
        <v>32</v>
      </c>
      <c r="E47" s="1">
        <f>IF(Card_Layout_Mode="CENTER_MODE",FC_CM_OFFSET+((5-1)*(Between_Card_Margin+Card_Width)),"See Overlap Mode Calcuation")</f>
        <v>264</v>
      </c>
      <c r="F47" t="str">
        <f t="shared" ca="1" si="1"/>
        <v>=IF(Card_Layout_Mode="CENTER_MODE",FC_CM_OFFSET+((5-1)*(Between_Card_Margin+Card_Width)),"See Overlap Mode Calcuation")</v>
      </c>
    </row>
    <row r="48" spans="4:7" x14ac:dyDescent="0.35">
      <c r="D48" t="s">
        <v>33</v>
      </c>
      <c r="E48" s="1">
        <f>IF(Card_Layout_Mode="CENTER_MODE",FC_CM_OFFSET+((6-1)*(Between_Card_Margin+Card_Width)),"See Overlap Mode Calcuation")</f>
        <v>320</v>
      </c>
      <c r="F48" t="str">
        <f t="shared" ca="1" si="1"/>
        <v>=IF(Card_Layout_Mode="CENTER_MODE",FC_CM_OFFSET+((6-1)*(Between_Card_Margin+Card_Width)),"See Overlap Mode Calcuation")</v>
      </c>
    </row>
    <row r="49" spans="4:6" x14ac:dyDescent="0.35">
      <c r="D49" t="s">
        <v>34</v>
      </c>
      <c r="E49" s="1">
        <f>IF(Card_Layout_Mode="CENTER_MODE",FC_CM_OFFSET+((7-1)*(Between_Card_Margin+Card_Width)),"See Overlap Mode Calcuation")</f>
        <v>376</v>
      </c>
      <c r="F49" t="str">
        <f t="shared" ca="1" si="1"/>
        <v>=IF(Card_Layout_Mode="CENTER_MODE",FC_CM_OFFSET+((7-1)*(Between_Card_Margin+Card_Width)),"See Overlap Mode Calcuation")</v>
      </c>
    </row>
    <row r="50" spans="4:6" x14ac:dyDescent="0.35">
      <c r="D50" t="s">
        <v>35</v>
      </c>
      <c r="E50" s="1">
        <f>IF(Card_Layout_Mode="CENTER_MODE",FC_CM_OFFSET+((8-1)*(Between_Card_Margin+Card_Width)),"See Overlap Mode Calcuation")</f>
        <v>432</v>
      </c>
      <c r="F50" t="str">
        <f t="shared" ca="1" si="1"/>
        <v>=IF(Card_Layout_Mode="CENTER_MODE",FC_CM_OFFSET+((8-1)*(Between_Card_Margin+Card_Width)),"See Overlap Mode Calcuation")</v>
      </c>
    </row>
    <row r="51" spans="4:6" x14ac:dyDescent="0.35">
      <c r="D51" t="s">
        <v>36</v>
      </c>
      <c r="E51" s="1">
        <f>IF(Card_Layout_Mode="CENTER_MODE",FC_CM_OFFSET+((9-1)*(Between_Card_Margin+Card_Width)),"See Overlap Mode Calcuation")</f>
        <v>488</v>
      </c>
      <c r="F51" t="str">
        <f t="shared" ca="1" si="1"/>
        <v>=IF(Card_Layout_Mode="CENTER_MODE",FC_CM_OFFSET+((9-1)*(Between_Card_Margin+Card_Width)),"See Overlap Mode Calcuation")</v>
      </c>
    </row>
    <row r="52" spans="4:6" x14ac:dyDescent="0.35">
      <c r="D52" t="s">
        <v>37</v>
      </c>
      <c r="E52" s="1">
        <f>IF(Card_Layout_Mode="CENTER_MODE",FC_CM_OFFSET+((110-1)*(Between_Card_Margin+Card_Width)),"See Overlap Mode Calcuation")</f>
        <v>6144</v>
      </c>
      <c r="F52" t="str">
        <f t="shared" ca="1" si="1"/>
        <v>=IF(Card_Layout_Mode="CENTER_MODE",FC_CM_OFFSET+((110-1)*(Between_Card_Margin+Card_Width)),"See Overlap Mode Calcuation")</v>
      </c>
    </row>
    <row r="53" spans="4:6" x14ac:dyDescent="0.35">
      <c r="D53" t="s">
        <v>38</v>
      </c>
      <c r="E53" s="1">
        <f>IF(Card_Layout_Mode="CENTER_MODE",FC_CM_OFFSET+((11-1)*(Between_Card_Margin+Card_Width)),"See Overlap Mode Calcuation")</f>
        <v>600</v>
      </c>
      <c r="F53" t="str">
        <f t="shared" ca="1" si="1"/>
        <v>=IF(Card_Layout_Mode="CENTER_MODE",FC_CM_OFFSET+((11-1)*(Between_Card_Margin+Card_Width)),"See Overlap Mode Calcuation")</v>
      </c>
    </row>
    <row r="54" spans="4:6" x14ac:dyDescent="0.35">
      <c r="E54" s="1"/>
    </row>
    <row r="55" spans="4:6" x14ac:dyDescent="0.35">
      <c r="E55" s="1"/>
    </row>
    <row r="76" ht="24.5" customHeight="1" x14ac:dyDescent="0.35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A7114-5C82-4DF6-8146-6EB578230254}">
  <dimension ref="C3:G34"/>
  <sheetViews>
    <sheetView workbookViewId="0">
      <selection activeCell="G34" sqref="C3:G34"/>
    </sheetView>
  </sheetViews>
  <sheetFormatPr defaultRowHeight="14.5" x14ac:dyDescent="0.35"/>
  <sheetData>
    <row r="3" spans="3:7" x14ac:dyDescent="0.35">
      <c r="C3" t="s">
        <v>40</v>
      </c>
    </row>
    <row r="4" spans="3:7" x14ac:dyDescent="0.35">
      <c r="D4" t="s">
        <v>41</v>
      </c>
    </row>
    <row r="5" spans="3:7" x14ac:dyDescent="0.35">
      <c r="D5" t="s">
        <v>42</v>
      </c>
    </row>
    <row r="6" spans="3:7" x14ac:dyDescent="0.35">
      <c r="D6" t="s">
        <v>43</v>
      </c>
    </row>
    <row r="7" spans="3:7" x14ac:dyDescent="0.35">
      <c r="E7" t="s">
        <v>46</v>
      </c>
    </row>
    <row r="8" spans="3:7" x14ac:dyDescent="0.35">
      <c r="E8" t="s">
        <v>47</v>
      </c>
    </row>
    <row r="9" spans="3:7" x14ac:dyDescent="0.35">
      <c r="F9" t="s">
        <v>59</v>
      </c>
    </row>
    <row r="10" spans="3:7" x14ac:dyDescent="0.35">
      <c r="G10" t="s">
        <v>62</v>
      </c>
    </row>
    <row r="11" spans="3:7" x14ac:dyDescent="0.35">
      <c r="G11" t="s">
        <v>63</v>
      </c>
    </row>
    <row r="12" spans="3:7" x14ac:dyDescent="0.35">
      <c r="G12" t="s">
        <v>64</v>
      </c>
    </row>
    <row r="13" spans="3:7" x14ac:dyDescent="0.35">
      <c r="F13" t="s">
        <v>60</v>
      </c>
    </row>
    <row r="14" spans="3:7" x14ac:dyDescent="0.35">
      <c r="G14" t="s">
        <v>65</v>
      </c>
    </row>
    <row r="15" spans="3:7" ht="15" customHeight="1" x14ac:dyDescent="0.35">
      <c r="G15" t="s">
        <v>66</v>
      </c>
    </row>
    <row r="16" spans="3:7" x14ac:dyDescent="0.35">
      <c r="G16" t="s">
        <v>67</v>
      </c>
    </row>
    <row r="17" spans="4:7" x14ac:dyDescent="0.35">
      <c r="F17" t="s">
        <v>61</v>
      </c>
    </row>
    <row r="18" spans="4:7" x14ac:dyDescent="0.35">
      <c r="G18" t="s">
        <v>68</v>
      </c>
    </row>
    <row r="19" spans="4:7" x14ac:dyDescent="0.35">
      <c r="G19" t="s">
        <v>69</v>
      </c>
    </row>
    <row r="20" spans="4:7" x14ac:dyDescent="0.35">
      <c r="G20" t="s">
        <v>70</v>
      </c>
    </row>
    <row r="21" spans="4:7" x14ac:dyDescent="0.35">
      <c r="G21" t="s">
        <v>71</v>
      </c>
    </row>
    <row r="22" spans="4:7" x14ac:dyDescent="0.35">
      <c r="E22" t="s">
        <v>48</v>
      </c>
    </row>
    <row r="23" spans="4:7" x14ac:dyDescent="0.35">
      <c r="D23" t="s">
        <v>44</v>
      </c>
    </row>
    <row r="24" spans="4:7" x14ac:dyDescent="0.35">
      <c r="E24" t="s">
        <v>53</v>
      </c>
    </row>
    <row r="25" spans="4:7" x14ac:dyDescent="0.35">
      <c r="E25" t="s">
        <v>52</v>
      </c>
    </row>
    <row r="26" spans="4:7" x14ac:dyDescent="0.35">
      <c r="E26" t="s">
        <v>51</v>
      </c>
    </row>
    <row r="27" spans="4:7" x14ac:dyDescent="0.35">
      <c r="D27" t="s">
        <v>45</v>
      </c>
    </row>
    <row r="28" spans="4:7" x14ac:dyDescent="0.35">
      <c r="E28" t="s">
        <v>54</v>
      </c>
    </row>
    <row r="29" spans="4:7" x14ac:dyDescent="0.35">
      <c r="E29" t="s">
        <v>56</v>
      </c>
    </row>
    <row r="30" spans="4:7" x14ac:dyDescent="0.35">
      <c r="E30" t="s">
        <v>55</v>
      </c>
    </row>
    <row r="31" spans="4:7" x14ac:dyDescent="0.35">
      <c r="F31" t="s">
        <v>57</v>
      </c>
    </row>
    <row r="32" spans="4:7" x14ac:dyDescent="0.35">
      <c r="F32" t="s">
        <v>58</v>
      </c>
    </row>
    <row r="33" spans="4:4" x14ac:dyDescent="0.35">
      <c r="D33" t="s">
        <v>49</v>
      </c>
    </row>
    <row r="34" spans="4:4" x14ac:dyDescent="0.35">
      <c r="D3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18</vt:i4>
      </vt:variant>
    </vt:vector>
  </HeadingPairs>
  <TitlesOfParts>
    <vt:vector size="20" baseType="lpstr">
      <vt:lpstr>CardSpreader</vt:lpstr>
      <vt:lpstr>Sheet1</vt:lpstr>
      <vt:lpstr>Aspect_R</vt:lpstr>
      <vt:lpstr>Between_Card_Margin</vt:lpstr>
      <vt:lpstr>Card_Height</vt:lpstr>
      <vt:lpstr>Card_Layout_Mode</vt:lpstr>
      <vt:lpstr>Card_Width</vt:lpstr>
      <vt:lpstr>Cards_in_Hand</vt:lpstr>
      <vt:lpstr>FC_CM_OFFSET</vt:lpstr>
      <vt:lpstr>OV_M_RightCard</vt:lpstr>
      <vt:lpstr>OV_M_Spacing</vt:lpstr>
      <vt:lpstr>PH_P</vt:lpstr>
      <vt:lpstr>PHC_LP</vt:lpstr>
      <vt:lpstr>PHC_W</vt:lpstr>
      <vt:lpstr>PlayerHandContiner_Padding</vt:lpstr>
      <vt:lpstr>THW_Plus_TICM</vt:lpstr>
      <vt:lpstr>Veiwport_X</vt:lpstr>
      <vt:lpstr>Viewport_Y</vt:lpstr>
      <vt:lpstr>VP_X</vt:lpstr>
      <vt:lpstr>VP_Y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McMillan</dc:creator>
  <cp:lastModifiedBy>Matthew McMillan</cp:lastModifiedBy>
  <dcterms:created xsi:type="dcterms:W3CDTF">2025-08-11T08:06:54Z</dcterms:created>
  <dcterms:modified xsi:type="dcterms:W3CDTF">2025-08-26T23:25:58Z</dcterms:modified>
</cp:coreProperties>
</file>